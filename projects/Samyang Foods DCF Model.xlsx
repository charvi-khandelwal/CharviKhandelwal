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atik./Desktop/"/>
    </mc:Choice>
  </mc:AlternateContent>
  <xr:revisionPtr revIDLastSave="0" documentId="8_{46393B59-73B7-134D-AEA7-74D019766FA8}" xr6:coauthVersionLast="47" xr6:coauthVersionMax="47" xr10:uidLastSave="{00000000-0000-0000-0000-000000000000}"/>
  <bookViews>
    <workbookView xWindow="0" yWindow="0" windowWidth="28800" windowHeight="18000" xr2:uid="{A9871059-B9D3-DB4A-ACF4-8EA66A52EECD}"/>
  </bookViews>
  <sheets>
    <sheet name="Company Info" sheetId="1" r:id="rId1"/>
    <sheet name="DCF Analysis" sheetId="2" r:id="rId2"/>
    <sheet name="Revenue Share Breakdow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" i="2" l="1"/>
  <c r="J6" i="2"/>
  <c r="K6" i="2" s="1"/>
  <c r="L6" i="2" s="1"/>
  <c r="M6" i="2" s="1"/>
  <c r="N6" i="2" s="1"/>
  <c r="O6" i="2" s="1"/>
  <c r="P6" i="2" s="1"/>
  <c r="Q6" i="2" s="1"/>
  <c r="R6" i="2" s="1"/>
  <c r="S6" i="2" s="1"/>
  <c r="I25" i="2"/>
  <c r="I45" i="2" s="1"/>
  <c r="I22" i="2"/>
  <c r="I44" i="2" s="1"/>
  <c r="N42" i="2"/>
  <c r="D45" i="2"/>
  <c r="E45" i="2"/>
  <c r="F45" i="2"/>
  <c r="G45" i="2"/>
  <c r="H45" i="2"/>
  <c r="C45" i="2"/>
  <c r="D44" i="2"/>
  <c r="E44" i="2"/>
  <c r="F44" i="2"/>
  <c r="G44" i="2"/>
  <c r="H44" i="2"/>
  <c r="C44" i="2"/>
  <c r="D43" i="2"/>
  <c r="E43" i="2"/>
  <c r="F43" i="2"/>
  <c r="G43" i="2"/>
  <c r="H43" i="2"/>
  <c r="C43" i="2"/>
  <c r="I42" i="2"/>
  <c r="D42" i="2"/>
  <c r="E42" i="2"/>
  <c r="F42" i="2"/>
  <c r="G42" i="2"/>
  <c r="H42" i="2"/>
  <c r="C42" i="2"/>
  <c r="E26" i="2"/>
  <c r="F26" i="2"/>
  <c r="G26" i="2"/>
  <c r="H26" i="2"/>
  <c r="D26" i="2"/>
  <c r="D23" i="2"/>
  <c r="E23" i="2"/>
  <c r="F23" i="2"/>
  <c r="G23" i="2"/>
  <c r="H23" i="2"/>
  <c r="C23" i="2"/>
  <c r="D20" i="2"/>
  <c r="E20" i="2"/>
  <c r="F20" i="2"/>
  <c r="G20" i="2"/>
  <c r="H20" i="2"/>
  <c r="C20" i="2"/>
  <c r="C17" i="2"/>
  <c r="D17" i="2"/>
  <c r="E17" i="2"/>
  <c r="F17" i="2"/>
  <c r="G17" i="2"/>
  <c r="H17" i="2"/>
  <c r="I17" i="2"/>
  <c r="D15" i="2"/>
  <c r="E15" i="2"/>
  <c r="F15" i="2"/>
  <c r="G15" i="2"/>
  <c r="H15" i="2"/>
  <c r="I15" i="2"/>
  <c r="C15" i="2"/>
  <c r="C12" i="2"/>
  <c r="E12" i="2"/>
  <c r="F12" i="2"/>
  <c r="G12" i="2"/>
  <c r="H12" i="2"/>
  <c r="I12" i="2"/>
  <c r="D12" i="2"/>
  <c r="I9" i="2"/>
  <c r="H9" i="2"/>
  <c r="G9" i="2"/>
  <c r="F9" i="2"/>
  <c r="E9" i="2"/>
  <c r="D9" i="2"/>
  <c r="D7" i="2"/>
  <c r="E7" i="2" s="1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I23" i="2" l="1"/>
  <c r="I19" i="2"/>
  <c r="N44" i="2"/>
  <c r="J8" i="2" s="1"/>
  <c r="J9" i="2" s="1"/>
  <c r="K8" i="2" l="1"/>
  <c r="K22" i="2"/>
  <c r="K11" i="2"/>
  <c r="K25" i="2"/>
  <c r="J22" i="2"/>
  <c r="J25" i="2"/>
  <c r="J11" i="2"/>
  <c r="I20" i="2"/>
  <c r="I43" i="2"/>
  <c r="I28" i="2"/>
  <c r="I29" i="2" s="1"/>
  <c r="K9" i="2"/>
  <c r="L8" i="2"/>
  <c r="J19" i="2" l="1"/>
  <c r="J20" i="2" s="1"/>
  <c r="J23" i="2"/>
  <c r="K14" i="2"/>
  <c r="K12" i="2"/>
  <c r="K17" i="2"/>
  <c r="J14" i="2"/>
  <c r="J17" i="2" s="1"/>
  <c r="J12" i="2"/>
  <c r="J28" i="2"/>
  <c r="J29" i="2" s="1"/>
  <c r="L22" i="2"/>
  <c r="L11" i="2"/>
  <c r="L25" i="2"/>
  <c r="K23" i="2"/>
  <c r="K19" i="2"/>
  <c r="K20" i="2" s="1"/>
  <c r="L9" i="2"/>
  <c r="M8" i="2"/>
  <c r="K28" i="2" l="1"/>
  <c r="K29" i="2" s="1"/>
  <c r="L14" i="2"/>
  <c r="L17" i="2" s="1"/>
  <c r="L12" i="2"/>
  <c r="L23" i="2"/>
  <c r="L19" i="2"/>
  <c r="L20" i="2" s="1"/>
  <c r="M25" i="2"/>
  <c r="M11" i="2"/>
  <c r="M22" i="2"/>
  <c r="M9" i="2"/>
  <c r="N8" i="2"/>
  <c r="L28" i="2" l="1"/>
  <c r="L29" i="2" s="1"/>
  <c r="N25" i="2"/>
  <c r="N11" i="2"/>
  <c r="N22" i="2"/>
  <c r="M23" i="2"/>
  <c r="M19" i="2"/>
  <c r="M20" i="2" s="1"/>
  <c r="M14" i="2"/>
  <c r="M17" i="2" s="1"/>
  <c r="M12" i="2"/>
  <c r="O8" i="2"/>
  <c r="N9" i="2"/>
  <c r="O11" i="2" l="1"/>
  <c r="O25" i="2"/>
  <c r="O22" i="2"/>
  <c r="N19" i="2"/>
  <c r="N20" i="2" s="1"/>
  <c r="N23" i="2"/>
  <c r="M28" i="2"/>
  <c r="M29" i="2" s="1"/>
  <c r="N14" i="2"/>
  <c r="N17" i="2" s="1"/>
  <c r="N12" i="2"/>
  <c r="P8" i="2"/>
  <c r="O9" i="2"/>
  <c r="P25" i="2" l="1"/>
  <c r="P11" i="2"/>
  <c r="P22" i="2"/>
  <c r="O19" i="2"/>
  <c r="O20" i="2" s="1"/>
  <c r="O23" i="2"/>
  <c r="N28" i="2"/>
  <c r="N29" i="2" s="1"/>
  <c r="O28" i="2"/>
  <c r="O29" i="2" s="1"/>
  <c r="O12" i="2"/>
  <c r="O14" i="2"/>
  <c r="O17" i="2" s="1"/>
  <c r="Q8" i="2"/>
  <c r="P9" i="2"/>
  <c r="P19" i="2" l="1"/>
  <c r="P20" i="2" s="1"/>
  <c r="P23" i="2"/>
  <c r="P12" i="2"/>
  <c r="P28" i="2"/>
  <c r="P29" i="2" s="1"/>
  <c r="P14" i="2"/>
  <c r="P17" i="2" s="1"/>
  <c r="Q22" i="2"/>
  <c r="Q11" i="2"/>
  <c r="Q25" i="2"/>
  <c r="R8" i="2"/>
  <c r="Q9" i="2"/>
  <c r="Q12" i="2" l="1"/>
  <c r="Q14" i="2"/>
  <c r="Q17" i="2"/>
  <c r="Q23" i="2"/>
  <c r="Q19" i="2"/>
  <c r="Q20" i="2" s="1"/>
  <c r="R22" i="2"/>
  <c r="R25" i="2"/>
  <c r="R11" i="2"/>
  <c r="S8" i="2"/>
  <c r="R9" i="2"/>
  <c r="R23" i="2" l="1"/>
  <c r="R19" i="2"/>
  <c r="R20" i="2" s="1"/>
  <c r="S9" i="2"/>
  <c r="S22" i="2"/>
  <c r="S11" i="2"/>
  <c r="S25" i="2"/>
  <c r="Q28" i="2"/>
  <c r="Q29" i="2" s="1"/>
  <c r="R12" i="2"/>
  <c r="R14" i="2"/>
  <c r="R17" i="2"/>
  <c r="S14" i="2" l="1"/>
  <c r="S17" i="2" s="1"/>
  <c r="S12" i="2"/>
  <c r="S23" i="2"/>
  <c r="S19" i="2"/>
  <c r="S20" i="2" s="1"/>
  <c r="R28" i="2"/>
  <c r="R29" i="2" s="1"/>
  <c r="S28" i="2" l="1"/>
  <c r="S31" i="2" l="1"/>
  <c r="S32" i="2" s="1"/>
  <c r="S29" i="2"/>
  <c r="S34" i="2" l="1"/>
  <c r="S37" i="2" s="1"/>
  <c r="S39" i="2" s="1"/>
</calcChain>
</file>

<file path=xl/sharedStrings.xml><?xml version="1.0" encoding="utf-8"?>
<sst xmlns="http://schemas.openxmlformats.org/spreadsheetml/2006/main" count="47" uniqueCount="45">
  <si>
    <t>SAMYANG FOOD</t>
  </si>
  <si>
    <t>(KRX: 003230)</t>
  </si>
  <si>
    <t>Assumptions</t>
  </si>
  <si>
    <t>Ticker</t>
  </si>
  <si>
    <t>WACC</t>
  </si>
  <si>
    <t>Terminal Growth Rate</t>
  </si>
  <si>
    <t>DCF</t>
  </si>
  <si>
    <t>Revenue</t>
  </si>
  <si>
    <t>EBIT</t>
  </si>
  <si>
    <t xml:space="preserve">    % of revenue</t>
  </si>
  <si>
    <t>(-) Taxes</t>
  </si>
  <si>
    <t xml:space="preserve">    % tax rate</t>
  </si>
  <si>
    <t>(+) D&amp;A</t>
  </si>
  <si>
    <t xml:space="preserve">    % of CapEx</t>
  </si>
  <si>
    <t>(-) CapEx</t>
  </si>
  <si>
    <t>(-) Change in Net Working Capital</t>
  </si>
  <si>
    <t xml:space="preserve">    % change in revenue</t>
  </si>
  <si>
    <t>Unlevered FCF</t>
  </si>
  <si>
    <t>Present Value of FCF</t>
  </si>
  <si>
    <t>Terminal Value</t>
  </si>
  <si>
    <t>Present Value of Terminal Value</t>
  </si>
  <si>
    <t>Enterprise Value</t>
  </si>
  <si>
    <t>(+) Cash</t>
  </si>
  <si>
    <t>(-) Debt</t>
  </si>
  <si>
    <t>Equity Value</t>
  </si>
  <si>
    <t>Share Outstanding</t>
  </si>
  <si>
    <t>Share Price</t>
  </si>
  <si>
    <t>KRX: 003230</t>
  </si>
  <si>
    <t>* In KRW millions</t>
  </si>
  <si>
    <t>-</t>
  </si>
  <si>
    <t>EBIAT</t>
  </si>
  <si>
    <t>EBIT Margin</t>
  </si>
  <si>
    <t>D&amp;A % of Rev</t>
  </si>
  <si>
    <t>Cap Exp % of Rev</t>
  </si>
  <si>
    <t>NWC % Rev</t>
  </si>
  <si>
    <t>Pre-COVID CAGR (2018-2019)</t>
  </si>
  <si>
    <t>Post-COVID CAGR (2022-2024)</t>
  </si>
  <si>
    <t>Blend of CAGR</t>
  </si>
  <si>
    <t>KRW</t>
  </si>
  <si>
    <t>Revenue Share</t>
  </si>
  <si>
    <t>South Korea</t>
  </si>
  <si>
    <t>China</t>
  </si>
  <si>
    <t>United States</t>
  </si>
  <si>
    <t>Japan</t>
  </si>
  <si>
    <t xml:space="preserve">    %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</si>
</sst>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%;\(0%\)"/>
    <numFmt numFmtId="165" formatCode="####%;\(####%\)"/>
  </numFmts>
  <fonts count="6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666666"/>
      <name val="Times New Roman"/>
      <family val="1"/>
    </font>
    <font>
      <b/>
      <sz val="12"/>
      <color theme="1"/>
      <name val="Aptos Narrow"/>
      <scheme val="minor"/>
    </font>
    <font>
      <sz val="12"/>
      <color rgb="FF002060"/>
      <name val="Aptos Narrow"/>
      <family val="2"/>
      <scheme val="minor"/>
    </font>
    <font>
      <b/>
      <sz val="18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5B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2" fillId="0" borderId="0" xfId="0" applyFont="1"/>
    <xf numFmtId="0" fontId="0" fillId="2" borderId="0" xfId="0" applyFill="1" applyAlignment="1">
      <alignment horizontal="center"/>
    </xf>
    <xf numFmtId="0" fontId="3" fillId="2" borderId="0" xfId="0" applyFont="1" applyFill="1"/>
    <xf numFmtId="0" fontId="1" fillId="3" borderId="0" xfId="0" applyFont="1" applyFill="1"/>
    <xf numFmtId="0" fontId="0" fillId="2" borderId="1" xfId="0" applyFill="1" applyBorder="1"/>
    <xf numFmtId="0" fontId="0" fillId="2" borderId="2" xfId="0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1" fillId="3" borderId="0" xfId="0" applyFont="1" applyFill="1" applyAlignment="1">
      <alignment horizontal="center"/>
    </xf>
    <xf numFmtId="39" fontId="0" fillId="2" borderId="0" xfId="0" applyNumberForma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39" fontId="0" fillId="4" borderId="0" xfId="0" applyNumberFormat="1" applyFill="1" applyAlignment="1">
      <alignment horizontal="center"/>
    </xf>
    <xf numFmtId="9" fontId="3" fillId="2" borderId="0" xfId="0" applyNumberFormat="1" applyFont="1" applyFill="1"/>
    <xf numFmtId="9" fontId="0" fillId="2" borderId="0" xfId="0" applyNumberFormat="1" applyFill="1" applyAlignment="1">
      <alignment horizontal="center"/>
    </xf>
    <xf numFmtId="9" fontId="0" fillId="2" borderId="0" xfId="0" applyNumberFormat="1" applyFill="1"/>
    <xf numFmtId="3" fontId="3" fillId="2" borderId="0" xfId="0" applyNumberFormat="1" applyFont="1" applyFill="1"/>
    <xf numFmtId="3" fontId="0" fillId="2" borderId="0" xfId="0" applyNumberFormat="1" applyFill="1" applyAlignment="1">
      <alignment horizontal="center"/>
    </xf>
    <xf numFmtId="3" fontId="0" fillId="2" borderId="0" xfId="0" applyNumberFormat="1" applyFill="1"/>
    <xf numFmtId="37" fontId="3" fillId="2" borderId="1" xfId="0" applyNumberFormat="1" applyFont="1" applyFill="1" applyBorder="1"/>
    <xf numFmtId="37" fontId="0" fillId="2" borderId="1" xfId="0" applyNumberFormat="1" applyFill="1" applyBorder="1" applyAlignment="1">
      <alignment horizontal="center"/>
    </xf>
    <xf numFmtId="37" fontId="0" fillId="2" borderId="1" xfId="0" applyNumberFormat="1" applyFill="1" applyBorder="1"/>
    <xf numFmtId="37" fontId="3" fillId="2" borderId="0" xfId="0" applyNumberFormat="1" applyFont="1" applyFill="1"/>
    <xf numFmtId="37" fontId="0" fillId="2" borderId="0" xfId="0" applyNumberFormat="1" applyFill="1" applyAlignment="1">
      <alignment horizontal="center"/>
    </xf>
    <xf numFmtId="37" fontId="0" fillId="2" borderId="0" xfId="0" applyNumberFormat="1" applyFill="1"/>
    <xf numFmtId="164" fontId="0" fillId="2" borderId="0" xfId="0" applyNumberFormat="1" applyFill="1" applyAlignment="1">
      <alignment horizontal="center"/>
    </xf>
    <xf numFmtId="39" fontId="3" fillId="2" borderId="0" xfId="0" applyNumberFormat="1" applyFon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5" fontId="3" fillId="2" borderId="0" xfId="0" applyNumberFormat="1" applyFont="1" applyFill="1"/>
    <xf numFmtId="165" fontId="0" fillId="2" borderId="0" xfId="0" applyNumberFormat="1" applyFill="1"/>
    <xf numFmtId="3" fontId="4" fillId="2" borderId="0" xfId="0" applyNumberFormat="1" applyFont="1" applyFill="1"/>
    <xf numFmtId="3" fontId="4" fillId="0" borderId="0" xfId="0" applyNumberFormat="1" applyFont="1"/>
    <xf numFmtId="9" fontId="0" fillId="2" borderId="0" xfId="0" quotePrefix="1" applyNumberFormat="1" applyFill="1"/>
    <xf numFmtId="39" fontId="0" fillId="2" borderId="0" xfId="0" applyNumberFormat="1" applyFill="1"/>
    <xf numFmtId="39" fontId="0" fillId="2" borderId="1" xfId="0" applyNumberFormat="1" applyFill="1" applyBorder="1"/>
    <xf numFmtId="37" fontId="4" fillId="2" borderId="0" xfId="0" applyNumberFormat="1" applyFont="1" applyFill="1"/>
    <xf numFmtId="165" fontId="0" fillId="2" borderId="0" xfId="0" quotePrefix="1" applyNumberFormat="1" applyFill="1"/>
    <xf numFmtId="39" fontId="0" fillId="2" borderId="2" xfId="0" applyNumberFormat="1" applyFill="1" applyBorder="1"/>
    <xf numFmtId="9" fontId="0" fillId="4" borderId="0" xfId="0" applyNumberFormat="1" applyFill="1" applyAlignment="1">
      <alignment horizontal="center"/>
    </xf>
    <xf numFmtId="37" fontId="0" fillId="2" borderId="2" xfId="0" applyNumberFormat="1" applyFill="1" applyBorder="1"/>
    <xf numFmtId="3" fontId="0" fillId="4" borderId="0" xfId="0" applyNumberFormat="1" applyFill="1"/>
    <xf numFmtId="9" fontId="0" fillId="4" borderId="0" xfId="0" applyNumberFormat="1" applyFill="1"/>
    <xf numFmtId="165" fontId="0" fillId="4" borderId="0" xfId="0" applyNumberFormat="1" applyFill="1"/>
    <xf numFmtId="3" fontId="0" fillId="2" borderId="1" xfId="0" applyNumberFormat="1" applyFill="1" applyBorder="1"/>
    <xf numFmtId="0" fontId="5" fillId="2" borderId="0" xfId="0" applyFont="1" applyFill="1"/>
    <xf numFmtId="0" fontId="0" fillId="2" borderId="0" xfId="0" applyFill="1" applyAlignment="1">
      <alignment wrapText="1"/>
    </xf>
    <xf numFmtId="4" fontId="5" fillId="2" borderId="0" xfId="0" applyNumberFormat="1" applyFont="1" applyFill="1" applyAlignment="1">
      <alignment wrapText="1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5B4"/>
      <color rgb="FFFFF2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and Growth Rate:</a:t>
            </a:r>
            <a:r>
              <a:rPr lang="en-US" b="1" baseline="0"/>
              <a:t> </a:t>
            </a:r>
            <a:r>
              <a:rPr lang="en-US" b="1"/>
              <a:t>Current (2018-2024)</a:t>
            </a:r>
            <a:r>
              <a:rPr lang="en-US" b="1" baseline="0"/>
              <a:t> and Projected (2025-2034)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'DCF Analysis'!$A$8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'DCF Analysis'!$B$7:$S$7</c:f>
              <c:numCache>
                <c:formatCode>General</c:formatCode>
                <c:ptCount val="18"/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</c:numCache>
            </c:numRef>
          </c:cat>
          <c:val>
            <c:numRef>
              <c:f>'DCF Analysis'!$B$8:$S$8</c:f>
              <c:numCache>
                <c:formatCode>#,##0</c:formatCode>
                <c:ptCount val="18"/>
                <c:pt idx="1">
                  <c:v>469360</c:v>
                </c:pt>
                <c:pt idx="2">
                  <c:v>543580</c:v>
                </c:pt>
                <c:pt idx="3">
                  <c:v>648510</c:v>
                </c:pt>
                <c:pt idx="4">
                  <c:v>642030</c:v>
                </c:pt>
                <c:pt idx="5">
                  <c:v>909040</c:v>
                </c:pt>
                <c:pt idx="6">
                  <c:v>1190000</c:v>
                </c:pt>
                <c:pt idx="7">
                  <c:v>1730000</c:v>
                </c:pt>
                <c:pt idx="8">
                  <c:v>2195077.2041219138</c:v>
                </c:pt>
                <c:pt idx="9">
                  <c:v>2634092.6449462962</c:v>
                </c:pt>
                <c:pt idx="10">
                  <c:v>3029206.5416882406</c:v>
                </c:pt>
                <c:pt idx="11">
                  <c:v>3332127.1958570648</c:v>
                </c:pt>
                <c:pt idx="12">
                  <c:v>3498733.555649918</c:v>
                </c:pt>
                <c:pt idx="13">
                  <c:v>3603695.5623194156</c:v>
                </c:pt>
                <c:pt idx="14">
                  <c:v>3711806.4291889984</c:v>
                </c:pt>
                <c:pt idx="15">
                  <c:v>3823160.6220646687</c:v>
                </c:pt>
                <c:pt idx="16">
                  <c:v>3937855.440726609</c:v>
                </c:pt>
                <c:pt idx="17">
                  <c:v>4055991.1039484073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D-384B-85B3-77938D890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404560"/>
        <c:axId val="1131406272"/>
      </c:barChart>
      <c:lineChart>
        <c:grouping val="standard"/>
        <c:varyColors val="0"/>
        <c:ser>
          <c:idx val="1"/>
          <c:order val="1"/>
          <c:tx>
            <c:strRef>
              <c:f>'DCF Analysis'!$A$9</c:f>
              <c:strCache>
                <c:ptCount val="1"/>
                <c:pt idx="0">
                  <c:v>    %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'DCF Analysis'!$B$7:$S$7</c:f>
              <c:numCache>
                <c:formatCode>General</c:formatCode>
                <c:ptCount val="18"/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</c:numCache>
            </c:numRef>
          </c:cat>
          <c:val>
            <c:numRef>
              <c:f>'DCF Analysis'!$B$9:$S$9</c:f>
              <c:numCache>
                <c:formatCode>0%</c:formatCode>
                <c:ptCount val="18"/>
                <c:pt idx="1">
                  <c:v>0</c:v>
                </c:pt>
                <c:pt idx="2">
                  <c:v>0.1581302198738708</c:v>
                </c:pt>
                <c:pt idx="3">
                  <c:v>0.1930350638360499</c:v>
                </c:pt>
                <c:pt idx="4">
                  <c:v>-9.9921358190313177E-3</c:v>
                </c:pt>
                <c:pt idx="5">
                  <c:v>0.41588399295983053</c:v>
                </c:pt>
                <c:pt idx="6">
                  <c:v>0.30907330810525391</c:v>
                </c:pt>
                <c:pt idx="7">
                  <c:v>0.45378151260504201</c:v>
                </c:pt>
                <c:pt idx="8">
                  <c:v>0.26883075382769583</c:v>
                </c:pt>
                <c:pt idx="9">
                  <c:v>0.19999999999999987</c:v>
                </c:pt>
                <c:pt idx="10">
                  <c:v>0.14999999999999997</c:v>
                </c:pt>
                <c:pt idx="11">
                  <c:v>0.10000000000000005</c:v>
                </c:pt>
                <c:pt idx="12">
                  <c:v>0.05</c:v>
                </c:pt>
                <c:pt idx="13">
                  <c:v>3.0000000000000013E-2</c:v>
                </c:pt>
                <c:pt idx="14">
                  <c:v>3.0000000000000089E-2</c:v>
                </c:pt>
                <c:pt idx="15">
                  <c:v>3.0000000000000086E-2</c:v>
                </c:pt>
                <c:pt idx="16">
                  <c:v>3.0000000000000058E-2</c:v>
                </c:pt>
                <c:pt idx="17">
                  <c:v>3.0000000000000027E-2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FD-384B-85B3-77938D890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0426576"/>
        <c:axId val="1030436592"/>
      </c:lineChart>
      <c:catAx>
        <c:axId val="1131404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406272"/>
        <c:crosses val="autoZero"/>
        <c:auto val="1"/>
        <c:lblAlgn val="ctr"/>
        <c:lblOffset val="100"/>
        <c:noMultiLvlLbl val="0"/>
      </c:catAx>
      <c:valAx>
        <c:axId val="11314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Revenue (KRW)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404560"/>
        <c:crosses val="autoZero"/>
        <c:crossBetween val="between"/>
      </c:valAx>
      <c:valAx>
        <c:axId val="10304365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Revenue Growth</a:t>
                </a:r>
                <a:r>
                  <a:rPr lang="en-US" b="1" baseline="0"/>
                  <a:t> Rate (%)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426576"/>
        <c:crosses val="max"/>
        <c:crossBetween val="between"/>
      </c:valAx>
      <c:catAx>
        <c:axId val="10304265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30436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Breakdown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1A-4447-8FE4-7FC07C83B9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1A-4447-8FE4-7FC07C83B9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1A-4447-8FE4-7FC07C83B9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B65-0740-89B1-30B0E53AD5C9}"/>
              </c:ext>
            </c:extLst>
          </c:dPt>
          <c:dLbls>
            <c:dLbl>
              <c:idx val="3"/>
              <c:layout>
                <c:manualLayout>
                  <c:x val="3.2118547681539759E-2"/>
                  <c:y val="0.15525699912510937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65-0740-89B1-30B0E53AD5C9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Share Breakdown'!$A$5:$A$8</c:f>
              <c:strCache>
                <c:ptCount val="4"/>
                <c:pt idx="0">
                  <c:v>South Korea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</c:strCache>
            </c:strRef>
          </c:cat>
          <c:val>
            <c:numRef>
              <c:f>'Revenue Share Breakdown'!$B$5:$B$8</c:f>
              <c:numCache>
                <c:formatCode>General</c:formatCode>
                <c:ptCount val="4"/>
                <c:pt idx="0">
                  <c:v>786.67</c:v>
                </c:pt>
                <c:pt idx="1">
                  <c:v>221.33</c:v>
                </c:pt>
                <c:pt idx="2">
                  <c:v>160.81</c:v>
                </c:pt>
                <c:pt idx="3">
                  <c:v>23.61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5-0740-89B1-30B0E53AD5C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</xdr:row>
      <xdr:rowOff>139700</xdr:rowOff>
    </xdr:from>
    <xdr:to>
      <xdr:col>3</xdr:col>
      <xdr:colOff>609600</xdr:colOff>
      <xdr:row>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2DA1E5-5941-3FDD-37DB-1E2BC06AD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46100"/>
          <a:ext cx="3009900" cy="74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904875</xdr:colOff>
      <xdr:row>47</xdr:row>
      <xdr:rowOff>120650</xdr:rowOff>
    </xdr:from>
    <xdr:to>
      <xdr:col>14</xdr:col>
      <xdr:colOff>15875</xdr:colOff>
      <xdr:row>70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408223-42C5-6984-03E1-F656290DF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12700</xdr:rowOff>
    </xdr:from>
    <xdr:to>
      <xdr:col>7</xdr:col>
      <xdr:colOff>463550</xdr:colOff>
      <xdr:row>13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61D953-95A6-2660-F386-55D3CFCC4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EAFF-2C3A-1F4C-8CB8-367A3BA4B1F7}">
  <dimension ref="A1:A7"/>
  <sheetViews>
    <sheetView tabSelected="1" workbookViewId="0">
      <selection activeCell="J12" sqref="J12"/>
    </sheetView>
  </sheetViews>
  <sheetFormatPr baseColWidth="10" defaultRowHeight="16" x14ac:dyDescent="0.2"/>
  <cols>
    <col min="1" max="16384" width="10.83203125" style="1"/>
  </cols>
  <sheetData>
    <row r="1" spans="1:1" x14ac:dyDescent="0.2">
      <c r="A1" s="1" t="s">
        <v>0</v>
      </c>
    </row>
    <row r="2" spans="1:1" x14ac:dyDescent="0.2">
      <c r="A2" s="2" t="s">
        <v>1</v>
      </c>
    </row>
    <row r="7" spans="1:1" x14ac:dyDescent="0.2">
      <c r="A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7845-96EE-7841-8B7D-378C03A3F686}">
  <dimension ref="A2:T48"/>
  <sheetViews>
    <sheetView zoomScale="80" zoomScaleNormal="80" workbookViewId="0">
      <selection activeCell="G8" sqref="G8"/>
    </sheetView>
  </sheetViews>
  <sheetFormatPr baseColWidth="10" defaultRowHeight="16" x14ac:dyDescent="0.2"/>
  <cols>
    <col min="1" max="1" width="10.83203125" style="1"/>
    <col min="2" max="2" width="15.33203125" style="3" customWidth="1"/>
    <col min="3" max="5" width="11" style="11" bestFit="1" customWidth="1"/>
    <col min="6" max="6" width="11.5" style="11" bestFit="1" customWidth="1"/>
    <col min="7" max="7" width="11" style="11" bestFit="1" customWidth="1"/>
    <col min="8" max="9" width="12.33203125" style="11" bestFit="1" customWidth="1"/>
    <col min="10" max="15" width="11" style="11" bestFit="1" customWidth="1"/>
    <col min="16" max="17" width="10.83203125" style="1"/>
    <col min="18" max="18" width="10.83203125" style="1" customWidth="1"/>
    <col min="19" max="19" width="30.83203125" style="1" customWidth="1"/>
    <col min="20" max="16384" width="10.83203125" style="1"/>
  </cols>
  <sheetData>
    <row r="2" spans="1:19" x14ac:dyDescent="0.2">
      <c r="A2" s="49" t="s">
        <v>2</v>
      </c>
      <c r="B2" s="49"/>
      <c r="C2" s="49"/>
      <c r="E2" s="11" t="s">
        <v>28</v>
      </c>
    </row>
    <row r="3" spans="1:19" x14ac:dyDescent="0.2">
      <c r="A3" s="4" t="s">
        <v>3</v>
      </c>
      <c r="C3" s="14" t="s">
        <v>27</v>
      </c>
    </row>
    <row r="4" spans="1:19" x14ac:dyDescent="0.2">
      <c r="A4" s="4" t="s">
        <v>4</v>
      </c>
      <c r="C4" s="40">
        <v>7.4999999999999997E-2</v>
      </c>
    </row>
    <row r="5" spans="1:19" x14ac:dyDescent="0.2">
      <c r="A5" s="4" t="s">
        <v>5</v>
      </c>
      <c r="C5" s="40">
        <v>0.02</v>
      </c>
    </row>
    <row r="6" spans="1:19" x14ac:dyDescent="0.2">
      <c r="I6" s="25">
        <v>1</v>
      </c>
      <c r="J6" s="25">
        <f>I6+1</f>
        <v>2</v>
      </c>
      <c r="K6" s="25">
        <f t="shared" ref="K6:S6" si="0">J6+1</f>
        <v>3</v>
      </c>
      <c r="L6" s="25">
        <f t="shared" si="0"/>
        <v>4</v>
      </c>
      <c r="M6" s="25">
        <f t="shared" si="0"/>
        <v>5</v>
      </c>
      <c r="N6" s="25">
        <f t="shared" si="0"/>
        <v>6</v>
      </c>
      <c r="O6" s="25">
        <f t="shared" si="0"/>
        <v>7</v>
      </c>
      <c r="P6" s="25">
        <f t="shared" si="0"/>
        <v>8</v>
      </c>
      <c r="Q6" s="25">
        <f t="shared" si="0"/>
        <v>9</v>
      </c>
      <c r="R6" s="25">
        <f t="shared" si="0"/>
        <v>10</v>
      </c>
      <c r="S6" s="25">
        <f t="shared" si="0"/>
        <v>11</v>
      </c>
    </row>
    <row r="7" spans="1:19" s="5" customFormat="1" x14ac:dyDescent="0.2">
      <c r="A7" s="5" t="s">
        <v>6</v>
      </c>
      <c r="B7" s="10"/>
      <c r="C7" s="5">
        <v>2018</v>
      </c>
      <c r="D7" s="5">
        <f>C7+1</f>
        <v>2019</v>
      </c>
      <c r="E7" s="5">
        <f t="shared" ref="E7:M7" si="1">D7+1</f>
        <v>2020</v>
      </c>
      <c r="F7" s="5">
        <f t="shared" si="1"/>
        <v>2021</v>
      </c>
      <c r="G7" s="5">
        <f t="shared" si="1"/>
        <v>2022</v>
      </c>
      <c r="H7" s="5">
        <f t="shared" si="1"/>
        <v>2023</v>
      </c>
      <c r="I7" s="5">
        <f t="shared" si="1"/>
        <v>2024</v>
      </c>
      <c r="J7" s="5">
        <f t="shared" si="1"/>
        <v>2025</v>
      </c>
      <c r="K7" s="5">
        <f>J7+1</f>
        <v>2026</v>
      </c>
      <c r="L7" s="5">
        <f t="shared" si="1"/>
        <v>2027</v>
      </c>
      <c r="M7" s="5">
        <f t="shared" si="1"/>
        <v>2028</v>
      </c>
      <c r="N7" s="5">
        <f>M7+1</f>
        <v>2029</v>
      </c>
      <c r="O7" s="5">
        <f>N7+1</f>
        <v>2030</v>
      </c>
      <c r="P7" s="5">
        <f t="shared" ref="P7:S7" si="2">O7+1</f>
        <v>2031</v>
      </c>
      <c r="Q7" s="5">
        <f t="shared" si="2"/>
        <v>2032</v>
      </c>
      <c r="R7" s="5">
        <f t="shared" si="2"/>
        <v>2033</v>
      </c>
      <c r="S7" s="5">
        <f t="shared" si="2"/>
        <v>2034</v>
      </c>
    </row>
    <row r="8" spans="1:19" s="20" customFormat="1" x14ac:dyDescent="0.2">
      <c r="A8" s="18" t="s">
        <v>7</v>
      </c>
      <c r="B8" s="19"/>
      <c r="C8" s="32">
        <v>469360</v>
      </c>
      <c r="D8" s="32">
        <v>543580</v>
      </c>
      <c r="E8" s="33">
        <v>648510</v>
      </c>
      <c r="F8" s="33">
        <v>642030</v>
      </c>
      <c r="G8" s="33">
        <v>909040</v>
      </c>
      <c r="H8" s="33">
        <v>1190000</v>
      </c>
      <c r="I8" s="33">
        <v>1730000</v>
      </c>
      <c r="J8" s="20">
        <f>I8*(1+$N$44)</f>
        <v>2195077.2041219138</v>
      </c>
      <c r="K8" s="20">
        <f>J8*(1+0.2)</f>
        <v>2634092.6449462962</v>
      </c>
      <c r="L8" s="20">
        <f>K8*(1+0.15)</f>
        <v>3029206.5416882406</v>
      </c>
      <c r="M8" s="20">
        <f>L8*(1+0.1)</f>
        <v>3332127.1958570648</v>
      </c>
      <c r="N8" s="20">
        <f>M8*(1+0.05)</f>
        <v>3498733.555649918</v>
      </c>
      <c r="O8" s="20">
        <f>N8*(1+0.03)</f>
        <v>3603695.5623194156</v>
      </c>
      <c r="P8" s="20">
        <f t="shared" ref="P8:S8" si="3">O8*(1+0.03)</f>
        <v>3711806.4291889984</v>
      </c>
      <c r="Q8" s="20">
        <f t="shared" si="3"/>
        <v>3823160.6220646687</v>
      </c>
      <c r="R8" s="20">
        <f t="shared" si="3"/>
        <v>3937855.440726609</v>
      </c>
      <c r="S8" s="20">
        <f t="shared" si="3"/>
        <v>4055991.1039484073</v>
      </c>
    </row>
    <row r="9" spans="1:19" s="17" customFormat="1" x14ac:dyDescent="0.2">
      <c r="A9" s="15" t="s">
        <v>44</v>
      </c>
      <c r="B9" s="16"/>
      <c r="C9" s="34" t="s">
        <v>29</v>
      </c>
      <c r="D9" s="17">
        <f>((D8-C8)/C8)</f>
        <v>0.1581302198738708</v>
      </c>
      <c r="E9" s="17">
        <f>((E8-D8)/D8)</f>
        <v>0.1930350638360499</v>
      </c>
      <c r="F9" s="17">
        <f t="shared" ref="F9:I9" si="4">((F8-E8)/E8)</f>
        <v>-9.9921358190313177E-3</v>
      </c>
      <c r="G9" s="17">
        <f t="shared" si="4"/>
        <v>0.41588399295983053</v>
      </c>
      <c r="H9" s="17">
        <f t="shared" si="4"/>
        <v>0.30907330810525391</v>
      </c>
      <c r="I9" s="17">
        <f t="shared" si="4"/>
        <v>0.45378151260504201</v>
      </c>
      <c r="J9" s="17">
        <f t="shared" ref="J9" si="5">((J8-I8)/I8)</f>
        <v>0.26883075382769583</v>
      </c>
      <c r="K9" s="17">
        <f t="shared" ref="K9" si="6">((K8-J8)/J8)</f>
        <v>0.19999999999999987</v>
      </c>
      <c r="L9" s="17">
        <f t="shared" ref="L9" si="7">((L8-K8)/K8)</f>
        <v>0.14999999999999997</v>
      </c>
      <c r="M9" s="17">
        <f t="shared" ref="M9" si="8">((M8-L8)/L8)</f>
        <v>0.10000000000000005</v>
      </c>
      <c r="N9" s="17">
        <f t="shared" ref="N9" si="9">((N8-M8)/M8)</f>
        <v>0.05</v>
      </c>
      <c r="O9" s="17">
        <f t="shared" ref="O9" si="10">((O8-N8)/N8)</f>
        <v>3.0000000000000013E-2</v>
      </c>
      <c r="P9" s="17">
        <f t="shared" ref="P9" si="11">((P8-O8)/O8)</f>
        <v>3.0000000000000089E-2</v>
      </c>
      <c r="Q9" s="17">
        <f t="shared" ref="Q9" si="12">((Q8-P8)/P8)</f>
        <v>3.0000000000000086E-2</v>
      </c>
      <c r="R9" s="17">
        <f t="shared" ref="R9" si="13">((R8-Q8)/Q8)</f>
        <v>3.0000000000000058E-2</v>
      </c>
      <c r="S9" s="17">
        <f t="shared" ref="S9" si="14">((S8-R8)/R8)</f>
        <v>3.0000000000000027E-2</v>
      </c>
    </row>
    <row r="10" spans="1:19" x14ac:dyDescent="0.2">
      <c r="A10" s="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</row>
    <row r="11" spans="1:19" s="20" customFormat="1" x14ac:dyDescent="0.2">
      <c r="A11" s="18" t="s">
        <v>8</v>
      </c>
      <c r="B11" s="19"/>
      <c r="C11" s="32">
        <v>55080</v>
      </c>
      <c r="D11" s="32">
        <v>78290</v>
      </c>
      <c r="E11" s="32">
        <v>95340</v>
      </c>
      <c r="F11" s="32">
        <v>65080</v>
      </c>
      <c r="G11" s="32">
        <v>90310</v>
      </c>
      <c r="H11" s="32">
        <v>147250</v>
      </c>
      <c r="I11" s="32">
        <v>344240</v>
      </c>
      <c r="J11" s="20">
        <f>J8*0.18</f>
        <v>395113.89674194448</v>
      </c>
      <c r="K11" s="20">
        <f>K8*0.17</f>
        <v>447795.74964087037</v>
      </c>
      <c r="L11" s="20">
        <f>L8*0.16</f>
        <v>484673.04667011852</v>
      </c>
      <c r="M11" s="20">
        <f>M8*0.15</f>
        <v>499819.07937855972</v>
      </c>
      <c r="N11" s="20">
        <f>N8*0.145</f>
        <v>507316.36556923809</v>
      </c>
      <c r="O11" s="20">
        <f>O8*0.14</f>
        <v>504517.37872471823</v>
      </c>
      <c r="P11" s="20">
        <f>P8*0.138</f>
        <v>512229.28722808184</v>
      </c>
      <c r="Q11" s="20">
        <f>Q8*0.135</f>
        <v>516126.68397873029</v>
      </c>
      <c r="R11" s="20">
        <f>R8*0.133</f>
        <v>523734.77361663902</v>
      </c>
      <c r="S11" s="42">
        <f>S8*0.13</f>
        <v>527278.84351329296</v>
      </c>
    </row>
    <row r="12" spans="1:19" s="17" customFormat="1" x14ac:dyDescent="0.2">
      <c r="A12" s="15" t="s">
        <v>9</v>
      </c>
      <c r="B12" s="16"/>
      <c r="C12" s="17">
        <f>(C11/C8)</f>
        <v>0.11735128685870121</v>
      </c>
      <c r="D12" s="17">
        <f>(D11/D8)</f>
        <v>0.14402663821332645</v>
      </c>
      <c r="E12" s="17">
        <f t="shared" ref="E12:I12" si="15">(E11/E8)</f>
        <v>0.14701392422630338</v>
      </c>
      <c r="F12" s="17">
        <f t="shared" si="15"/>
        <v>0.10136597978287619</v>
      </c>
      <c r="G12" s="17">
        <f t="shared" si="15"/>
        <v>9.9346563407550825E-2</v>
      </c>
      <c r="H12" s="17">
        <f t="shared" si="15"/>
        <v>0.12373949579831933</v>
      </c>
      <c r="I12" s="17">
        <f t="shared" si="15"/>
        <v>0.19898265895953757</v>
      </c>
      <c r="J12" s="17">
        <f t="shared" ref="J12" si="16">(J11/J8)</f>
        <v>0.18</v>
      </c>
      <c r="K12" s="17">
        <f t="shared" ref="K12" si="17">(K11/K8)</f>
        <v>0.17</v>
      </c>
      <c r="L12" s="17">
        <f t="shared" ref="L12" si="18">(L11/L8)</f>
        <v>0.16</v>
      </c>
      <c r="M12" s="17">
        <f t="shared" ref="M12" si="19">(M11/M8)</f>
        <v>0.15</v>
      </c>
      <c r="N12" s="17">
        <f t="shared" ref="N12" si="20">(N11/N8)</f>
        <v>0.14499999999999999</v>
      </c>
      <c r="O12" s="17">
        <f t="shared" ref="O12" si="21">(O11/O8)</f>
        <v>0.14000000000000001</v>
      </c>
      <c r="P12" s="17">
        <f t="shared" ref="P12" si="22">(P11/P8)</f>
        <v>0.13800000000000001</v>
      </c>
      <c r="Q12" s="17">
        <f t="shared" ref="Q12" si="23">(Q11/Q8)</f>
        <v>0.13500000000000001</v>
      </c>
      <c r="R12" s="17">
        <f t="shared" ref="R12" si="24">(R11/R8)</f>
        <v>0.13300000000000001</v>
      </c>
      <c r="S12" s="17">
        <f t="shared" ref="S12" si="25">(S11/S8)</f>
        <v>0.13</v>
      </c>
    </row>
    <row r="13" spans="1:19" x14ac:dyDescent="0.2">
      <c r="A13" s="4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  <row r="14" spans="1:19" s="20" customFormat="1" x14ac:dyDescent="0.2">
      <c r="A14" s="18" t="s">
        <v>10</v>
      </c>
      <c r="B14" s="19"/>
      <c r="C14" s="32">
        <v>18550</v>
      </c>
      <c r="D14" s="32">
        <v>18240</v>
      </c>
      <c r="E14" s="32">
        <v>22730</v>
      </c>
      <c r="F14" s="32">
        <v>15470</v>
      </c>
      <c r="G14" s="32">
        <v>21680</v>
      </c>
      <c r="H14" s="32">
        <v>29730</v>
      </c>
      <c r="I14" s="32">
        <v>79990</v>
      </c>
      <c r="J14" s="20">
        <f>J11*J15</f>
        <v>90876.196250647234</v>
      </c>
      <c r="K14" s="20">
        <f t="shared" ref="K14:S14" si="26">K11*K15</f>
        <v>102993.02241740019</v>
      </c>
      <c r="L14" s="20">
        <f t="shared" si="26"/>
        <v>111474.80073412726</v>
      </c>
      <c r="M14" s="20">
        <f t="shared" si="26"/>
        <v>114958.38825706874</v>
      </c>
      <c r="N14" s="20">
        <f t="shared" si="26"/>
        <v>116682.76408092477</v>
      </c>
      <c r="O14" s="20">
        <f t="shared" si="26"/>
        <v>116038.9971066852</v>
      </c>
      <c r="P14" s="20">
        <f t="shared" si="26"/>
        <v>117812.73606245883</v>
      </c>
      <c r="Q14" s="20">
        <f t="shared" si="26"/>
        <v>118709.13731510798</v>
      </c>
      <c r="R14" s="20">
        <f t="shared" si="26"/>
        <v>120458.99793182698</v>
      </c>
      <c r="S14" s="20">
        <f t="shared" si="26"/>
        <v>121274.13400805739</v>
      </c>
    </row>
    <row r="15" spans="1:19" s="17" customFormat="1" x14ac:dyDescent="0.2">
      <c r="A15" s="15" t="s">
        <v>11</v>
      </c>
      <c r="B15" s="16"/>
      <c r="C15" s="34">
        <f>C14/C11</f>
        <v>0.33678286129266521</v>
      </c>
      <c r="D15" s="34">
        <f t="shared" ref="D15:I15" si="27">D14/D11</f>
        <v>0.23297994635330183</v>
      </c>
      <c r="E15" s="34">
        <f t="shared" si="27"/>
        <v>0.23840990140549612</v>
      </c>
      <c r="F15" s="34">
        <f t="shared" si="27"/>
        <v>0.23770743700061464</v>
      </c>
      <c r="G15" s="34">
        <f t="shared" si="27"/>
        <v>0.24006200863691729</v>
      </c>
      <c r="H15" s="34">
        <f t="shared" si="27"/>
        <v>0.20190152801358235</v>
      </c>
      <c r="I15" s="34">
        <f t="shared" si="27"/>
        <v>0.23236695328840343</v>
      </c>
      <c r="J15" s="17">
        <v>0.23</v>
      </c>
      <c r="K15" s="17">
        <v>0.23</v>
      </c>
      <c r="L15" s="17">
        <v>0.23</v>
      </c>
      <c r="M15" s="17">
        <v>0.23</v>
      </c>
      <c r="N15" s="17">
        <v>0.23</v>
      </c>
      <c r="O15" s="17">
        <v>0.23</v>
      </c>
      <c r="P15" s="17">
        <v>0.23</v>
      </c>
      <c r="Q15" s="17">
        <v>0.23</v>
      </c>
      <c r="R15" s="17">
        <v>0.23</v>
      </c>
      <c r="S15" s="43">
        <v>0.23</v>
      </c>
    </row>
    <row r="16" spans="1:19" s="6" customFormat="1" x14ac:dyDescent="0.2">
      <c r="A16" s="8"/>
      <c r="B16" s="12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</row>
    <row r="17" spans="1:19" s="23" customFormat="1" x14ac:dyDescent="0.2">
      <c r="A17" s="21" t="s">
        <v>30</v>
      </c>
      <c r="B17" s="22"/>
      <c r="C17" s="23">
        <f t="shared" ref="C17:H17" si="28">C11-C14</f>
        <v>36530</v>
      </c>
      <c r="D17" s="23">
        <f t="shared" si="28"/>
        <v>60050</v>
      </c>
      <c r="E17" s="23">
        <f t="shared" si="28"/>
        <v>72610</v>
      </c>
      <c r="F17" s="23">
        <f t="shared" si="28"/>
        <v>49610</v>
      </c>
      <c r="G17" s="23">
        <f t="shared" si="28"/>
        <v>68630</v>
      </c>
      <c r="H17" s="23">
        <f t="shared" si="28"/>
        <v>117520</v>
      </c>
      <c r="I17" s="23">
        <f>I11-I14</f>
        <v>264250</v>
      </c>
      <c r="J17" s="23">
        <f t="shared" ref="J17:S17" si="29">J11-J14</f>
        <v>304237.70049129723</v>
      </c>
      <c r="K17" s="23">
        <f t="shared" si="29"/>
        <v>344802.72722347017</v>
      </c>
      <c r="L17" s="23">
        <f t="shared" si="29"/>
        <v>373198.24593599129</v>
      </c>
      <c r="M17" s="23">
        <f t="shared" si="29"/>
        <v>384860.69112149096</v>
      </c>
      <c r="N17" s="23">
        <f t="shared" si="29"/>
        <v>390633.60148831329</v>
      </c>
      <c r="O17" s="23">
        <f t="shared" si="29"/>
        <v>388478.38161803305</v>
      </c>
      <c r="P17" s="23">
        <f t="shared" si="29"/>
        <v>394416.55116562301</v>
      </c>
      <c r="Q17" s="23">
        <f t="shared" si="29"/>
        <v>397417.54666362231</v>
      </c>
      <c r="R17" s="23">
        <f t="shared" si="29"/>
        <v>403275.77568481205</v>
      </c>
      <c r="S17" s="23">
        <f t="shared" si="29"/>
        <v>406004.70950523554</v>
      </c>
    </row>
    <row r="18" spans="1:19" x14ac:dyDescent="0.2">
      <c r="A18" s="4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</row>
    <row r="19" spans="1:19" s="20" customFormat="1" x14ac:dyDescent="0.2">
      <c r="A19" s="18" t="s">
        <v>12</v>
      </c>
      <c r="B19" s="19"/>
      <c r="C19" s="32">
        <v>9640</v>
      </c>
      <c r="D19" s="32">
        <v>12130</v>
      </c>
      <c r="E19" s="32">
        <v>13280</v>
      </c>
      <c r="F19" s="32">
        <v>15270</v>
      </c>
      <c r="G19" s="32">
        <v>24900</v>
      </c>
      <c r="H19" s="32">
        <v>32140</v>
      </c>
      <c r="I19" s="20">
        <f>I22*0.3</f>
        <v>41520</v>
      </c>
      <c r="J19" s="20">
        <f>J22*0.29</f>
        <v>47742.929189651615</v>
      </c>
      <c r="K19" s="20">
        <f>K22*0.28</f>
        <v>51628.215840947421</v>
      </c>
      <c r="L19" s="20">
        <f>L22*0.27</f>
        <v>53162.574806628625</v>
      </c>
      <c r="M19" s="20">
        <f>M22*0.265</f>
        <v>52980.822414127331</v>
      </c>
      <c r="N19" s="20">
        <f t="shared" ref="N19:S19" si="30">N22*0.26</f>
        <v>50031.889845793827</v>
      </c>
      <c r="O19" s="20">
        <f t="shared" si="30"/>
        <v>46848.042310152407</v>
      </c>
      <c r="P19" s="20">
        <f t="shared" si="30"/>
        <v>43428.135221511278</v>
      </c>
      <c r="Q19" s="20">
        <f t="shared" si="30"/>
        <v>41748.913992946182</v>
      </c>
      <c r="R19" s="20">
        <f t="shared" si="30"/>
        <v>40953.696583556739</v>
      </c>
      <c r="S19" s="20">
        <f t="shared" si="30"/>
        <v>42182.307481063443</v>
      </c>
    </row>
    <row r="20" spans="1:19" s="17" customFormat="1" x14ac:dyDescent="0.2">
      <c r="A20" s="15" t="s">
        <v>13</v>
      </c>
      <c r="B20" s="16"/>
      <c r="C20" s="17">
        <f>C19/C22</f>
        <v>0.26644555002763959</v>
      </c>
      <c r="D20" s="17">
        <f t="shared" ref="D20:H20" si="31">D19/D22</f>
        <v>0.93958171959721148</v>
      </c>
      <c r="E20" s="17">
        <f t="shared" si="31"/>
        <v>0.19966922267328222</v>
      </c>
      <c r="F20" s="17">
        <f t="shared" si="31"/>
        <v>0.10792282140080571</v>
      </c>
      <c r="G20" s="17">
        <f t="shared" si="31"/>
        <v>0.26405090137857901</v>
      </c>
      <c r="H20" s="17">
        <f t="shared" si="31"/>
        <v>0.65073901599514072</v>
      </c>
      <c r="I20" s="17">
        <f t="shared" ref="I20" si="32">I19/I22</f>
        <v>0.3</v>
      </c>
      <c r="J20" s="17">
        <f t="shared" ref="J20" si="33">J19/J22</f>
        <v>0.28999999999999998</v>
      </c>
      <c r="K20" s="17">
        <f t="shared" ref="K20" si="34">K19/K22</f>
        <v>0.28000000000000003</v>
      </c>
      <c r="L20" s="17">
        <f t="shared" ref="L20" si="35">L19/L22</f>
        <v>0.27</v>
      </c>
      <c r="M20" s="17">
        <f t="shared" ref="M20" si="36">M19/M22</f>
        <v>0.26500000000000001</v>
      </c>
      <c r="N20" s="17">
        <f t="shared" ref="N20" si="37">N19/N22</f>
        <v>0.26</v>
      </c>
      <c r="O20" s="17">
        <f t="shared" ref="O20" si="38">O19/O22</f>
        <v>0.26</v>
      </c>
      <c r="P20" s="17">
        <f t="shared" ref="P20" si="39">P19/P22</f>
        <v>0.26</v>
      </c>
      <c r="Q20" s="17">
        <f t="shared" ref="Q20" si="40">Q19/Q22</f>
        <v>0.26</v>
      </c>
      <c r="R20" s="17">
        <f t="shared" ref="R20" si="41">R19/R22</f>
        <v>0.26</v>
      </c>
      <c r="S20" s="17">
        <f t="shared" ref="S20" si="42">S19/S22</f>
        <v>0.26</v>
      </c>
    </row>
    <row r="21" spans="1:19" x14ac:dyDescent="0.2">
      <c r="A21" s="4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</row>
    <row r="22" spans="1:19" s="26" customFormat="1" x14ac:dyDescent="0.2">
      <c r="A22" s="24" t="s">
        <v>14</v>
      </c>
      <c r="B22" s="25"/>
      <c r="C22" s="37">
        <v>36180</v>
      </c>
      <c r="D22" s="37">
        <v>12910</v>
      </c>
      <c r="E22" s="37">
        <v>66510</v>
      </c>
      <c r="F22" s="37">
        <v>141490</v>
      </c>
      <c r="G22" s="37">
        <v>94300</v>
      </c>
      <c r="H22" s="37">
        <v>49390</v>
      </c>
      <c r="I22" s="26">
        <f>I8*0.08</f>
        <v>138400</v>
      </c>
      <c r="J22" s="26">
        <f>J8*0.075</f>
        <v>164630.79030914351</v>
      </c>
      <c r="K22" s="26">
        <f>K8*0.07</f>
        <v>184386.48514624077</v>
      </c>
      <c r="L22" s="26">
        <f>L8*0.065</f>
        <v>196898.42520973564</v>
      </c>
      <c r="M22" s="26">
        <f>M8*0.06</f>
        <v>199927.63175142388</v>
      </c>
      <c r="N22" s="26">
        <f>N8*0.055</f>
        <v>192430.34556074548</v>
      </c>
      <c r="O22" s="26">
        <f>O8*0.05</f>
        <v>180184.77811597078</v>
      </c>
      <c r="P22" s="26">
        <f>P8*0.045</f>
        <v>167031.28931350491</v>
      </c>
      <c r="Q22" s="26">
        <f>Q8*0.042</f>
        <v>160572.74612671608</v>
      </c>
      <c r="R22" s="26">
        <f>R8*0.04</f>
        <v>157514.21762906437</v>
      </c>
      <c r="S22" s="26">
        <f>S8*0.04</f>
        <v>162239.6441579363</v>
      </c>
    </row>
    <row r="23" spans="1:19" s="17" customFormat="1" x14ac:dyDescent="0.2">
      <c r="A23" s="15" t="s">
        <v>9</v>
      </c>
      <c r="B23" s="16"/>
      <c r="C23" s="17">
        <f>C22/C8</f>
        <v>7.7083688426793931E-2</v>
      </c>
      <c r="D23" s="17">
        <f t="shared" ref="D23:H23" si="43">D22/D8</f>
        <v>2.3749954008609589E-2</v>
      </c>
      <c r="E23" s="17">
        <f t="shared" si="43"/>
        <v>0.10255817180922422</v>
      </c>
      <c r="F23" s="17">
        <f t="shared" si="43"/>
        <v>0.22037911001043564</v>
      </c>
      <c r="G23" s="17">
        <f t="shared" si="43"/>
        <v>0.1037358092053155</v>
      </c>
      <c r="H23" s="17">
        <f t="shared" si="43"/>
        <v>4.1504201680672266E-2</v>
      </c>
      <c r="I23" s="17">
        <f t="shared" ref="I23" si="44">I22/I8</f>
        <v>0.08</v>
      </c>
      <c r="J23" s="17">
        <f t="shared" ref="J23" si="45">J22/J8</f>
        <v>7.4999999999999997E-2</v>
      </c>
      <c r="K23" s="17">
        <f t="shared" ref="K23" si="46">K22/K8</f>
        <v>7.0000000000000007E-2</v>
      </c>
      <c r="L23" s="17">
        <f t="shared" ref="L23" si="47">L22/L8</f>
        <v>6.5000000000000002E-2</v>
      </c>
      <c r="M23" s="17">
        <f t="shared" ref="M23" si="48">M22/M8</f>
        <v>0.06</v>
      </c>
      <c r="N23" s="17">
        <f t="shared" ref="N23" si="49">N22/N8</f>
        <v>5.5E-2</v>
      </c>
      <c r="O23" s="17">
        <f t="shared" ref="O23" si="50">O22/O8</f>
        <v>0.05</v>
      </c>
      <c r="P23" s="17">
        <f t="shared" ref="P23" si="51">P22/P8</f>
        <v>4.4999999999999991E-2</v>
      </c>
      <c r="Q23" s="17">
        <f t="shared" ref="Q23" si="52">Q22/Q8</f>
        <v>4.2000000000000003E-2</v>
      </c>
      <c r="R23" s="17">
        <f t="shared" ref="R23" si="53">R22/R8</f>
        <v>0.04</v>
      </c>
      <c r="S23" s="17">
        <f t="shared" ref="S23" si="54">S22/S8</f>
        <v>0.04</v>
      </c>
    </row>
    <row r="24" spans="1:19" x14ac:dyDescent="0.2">
      <c r="A24" s="4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</row>
    <row r="25" spans="1:19" s="26" customFormat="1" x14ac:dyDescent="0.2">
      <c r="A25" s="24" t="s">
        <v>15</v>
      </c>
      <c r="B25" s="25"/>
      <c r="C25" s="37">
        <v>-32700</v>
      </c>
      <c r="D25" s="37">
        <v>-27610</v>
      </c>
      <c r="E25" s="37">
        <v>-21660</v>
      </c>
      <c r="F25" s="37">
        <v>-12740</v>
      </c>
      <c r="G25" s="37">
        <v>-63500</v>
      </c>
      <c r="H25" s="37">
        <v>-7800</v>
      </c>
      <c r="I25" s="26">
        <f>I26*(I8-H8)</f>
        <v>-81000</v>
      </c>
      <c r="J25" s="26">
        <f t="shared" ref="J25:S25" si="55">J26*(J8-I8)</f>
        <v>-55809.26449462965</v>
      </c>
      <c r="K25" s="26">
        <f t="shared" si="55"/>
        <v>-43901.544082438253</v>
      </c>
      <c r="L25" s="26">
        <f t="shared" si="55"/>
        <v>-27657.972771936107</v>
      </c>
      <c r="M25" s="26">
        <f t="shared" si="55"/>
        <v>-15146.032708441211</v>
      </c>
      <c r="N25" s="26">
        <f t="shared" si="55"/>
        <v>-6664.2543917141302</v>
      </c>
      <c r="O25" s="26">
        <f t="shared" si="55"/>
        <v>-3673.6702334324159</v>
      </c>
      <c r="P25" s="26">
        <f t="shared" si="55"/>
        <v>-3459.5477398266494</v>
      </c>
      <c r="Q25" s="26">
        <f t="shared" si="55"/>
        <v>-3340.6257862701082</v>
      </c>
      <c r="R25" s="26">
        <f t="shared" si="55"/>
        <v>-3440.8445598582084</v>
      </c>
      <c r="S25" s="26">
        <f t="shared" si="55"/>
        <v>-3544.0698966539512</v>
      </c>
    </row>
    <row r="26" spans="1:19" s="31" customFormat="1" x14ac:dyDescent="0.2">
      <c r="A26" s="30" t="s">
        <v>16</v>
      </c>
      <c r="B26" s="29"/>
      <c r="C26" s="38" t="s">
        <v>29</v>
      </c>
      <c r="D26" s="31">
        <f>(D25/(D8-C8))</f>
        <v>-0.37200215575316625</v>
      </c>
      <c r="E26" s="31">
        <f t="shared" ref="E26:H26" si="56">(E25/(E8-D8))</f>
        <v>-0.20642332983894024</v>
      </c>
      <c r="F26" s="31">
        <f t="shared" si="56"/>
        <v>1.9660493827160495</v>
      </c>
      <c r="G26" s="31">
        <f t="shared" si="56"/>
        <v>-0.23781880828433391</v>
      </c>
      <c r="H26" s="31">
        <f t="shared" si="56"/>
        <v>-2.7761958997722096E-2</v>
      </c>
      <c r="I26" s="31">
        <v>-0.15</v>
      </c>
      <c r="J26" s="31">
        <v>-0.12</v>
      </c>
      <c r="K26" s="31">
        <v>-0.1</v>
      </c>
      <c r="L26" s="31">
        <v>-7.0000000000000007E-2</v>
      </c>
      <c r="M26" s="31">
        <v>-0.05</v>
      </c>
      <c r="N26" s="31">
        <v>-0.04</v>
      </c>
      <c r="O26" s="31">
        <v>-3.5000000000000003E-2</v>
      </c>
      <c r="P26" s="31">
        <v>-3.2000000000000001E-2</v>
      </c>
      <c r="Q26" s="31">
        <v>-0.03</v>
      </c>
      <c r="R26" s="31">
        <v>-0.03</v>
      </c>
      <c r="S26" s="44">
        <v>-0.03</v>
      </c>
    </row>
    <row r="27" spans="1:19" s="6" customFormat="1" x14ac:dyDescent="0.2">
      <c r="A27" s="8"/>
      <c r="B27" s="12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</row>
    <row r="28" spans="1:19" s="23" customFormat="1" x14ac:dyDescent="0.2">
      <c r="A28" s="21" t="s">
        <v>17</v>
      </c>
      <c r="B28" s="22"/>
      <c r="I28" s="23">
        <f t="shared" ref="I28:S28" si="57">I11*(1-I15)+I19-I22-I25</f>
        <v>248370</v>
      </c>
      <c r="J28" s="23">
        <f t="shared" si="57"/>
        <v>243159.10386643501</v>
      </c>
      <c r="K28" s="23">
        <f t="shared" si="57"/>
        <v>255946.00200061506</v>
      </c>
      <c r="L28" s="23">
        <f t="shared" si="57"/>
        <v>257120.36830482038</v>
      </c>
      <c r="M28" s="23">
        <f t="shared" si="57"/>
        <v>253059.9144926357</v>
      </c>
      <c r="N28" s="23">
        <f t="shared" si="57"/>
        <v>254899.40016507584</v>
      </c>
      <c r="O28" s="23">
        <f t="shared" si="57"/>
        <v>258815.31604564711</v>
      </c>
      <c r="P28" s="23">
        <f t="shared" si="57"/>
        <v>274272.9448134561</v>
      </c>
      <c r="Q28" s="23">
        <f t="shared" si="57"/>
        <v>281934.34031612257</v>
      </c>
      <c r="R28" s="23">
        <f t="shared" si="57"/>
        <v>290156.09919916268</v>
      </c>
      <c r="S28" s="23">
        <f t="shared" si="57"/>
        <v>289491.44272501668</v>
      </c>
    </row>
    <row r="29" spans="1:19" s="7" customFormat="1" x14ac:dyDescent="0.2">
      <c r="A29" s="9" t="s">
        <v>18</v>
      </c>
      <c r="B29" s="13"/>
      <c r="C29" s="39"/>
      <c r="D29" s="39"/>
      <c r="E29" s="39"/>
      <c r="F29" s="39"/>
      <c r="G29" s="39"/>
      <c r="H29" s="39"/>
      <c r="I29" s="41">
        <f>I28/(1+$C$4)^I6</f>
        <v>231041.86046511628</v>
      </c>
      <c r="J29" s="41">
        <f t="shared" ref="J29:S29" si="58">J28/(1+$C$4)^J6</f>
        <v>210413.502534503</v>
      </c>
      <c r="K29" s="41">
        <f t="shared" si="58"/>
        <v>206026.43953412111</v>
      </c>
      <c r="L29" s="41">
        <f t="shared" si="58"/>
        <v>192531.86800294614</v>
      </c>
      <c r="M29" s="41">
        <f t="shared" si="58"/>
        <v>176271.06794162767</v>
      </c>
      <c r="N29" s="41">
        <f t="shared" si="58"/>
        <v>165165.00238683741</v>
      </c>
      <c r="O29" s="41">
        <f t="shared" si="58"/>
        <v>156002.20017394834</v>
      </c>
      <c r="P29" s="41">
        <f t="shared" si="58"/>
        <v>153785.45271628402</v>
      </c>
      <c r="Q29" s="41">
        <f t="shared" si="58"/>
        <v>147052.29235864102</v>
      </c>
      <c r="R29" s="41">
        <f t="shared" si="58"/>
        <v>140781.97759107113</v>
      </c>
      <c r="S29" s="41">
        <f t="shared" si="58"/>
        <v>130659.99098177602</v>
      </c>
    </row>
    <row r="30" spans="1:19" x14ac:dyDescent="0.2">
      <c r="A30" s="4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</row>
    <row r="31" spans="1:19" x14ac:dyDescent="0.2">
      <c r="A31" s="4" t="s">
        <v>19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S31" s="20">
        <f>(S28*(1+C5))/(C4-C5)</f>
        <v>5368750.3923548553</v>
      </c>
    </row>
    <row r="32" spans="1:19" x14ac:dyDescent="0.2">
      <c r="A32" s="4" t="s">
        <v>20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S32" s="20">
        <f>S31/((1+C4)^10)</f>
        <v>2604885.0929366807</v>
      </c>
    </row>
    <row r="33" spans="1:20" x14ac:dyDescent="0.2">
      <c r="A33" s="4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</row>
    <row r="34" spans="1:20" s="6" customFormat="1" x14ac:dyDescent="0.2">
      <c r="A34" s="8" t="s">
        <v>21</v>
      </c>
      <c r="B34" s="12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S34" s="23">
        <f>SUM((I29:S29),S32)</f>
        <v>4514616.7476235526</v>
      </c>
    </row>
    <row r="35" spans="1:20" x14ac:dyDescent="0.2">
      <c r="A35" s="4" t="s">
        <v>22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S35" s="20">
        <v>241030</v>
      </c>
    </row>
    <row r="36" spans="1:20" s="6" customFormat="1" x14ac:dyDescent="0.2">
      <c r="A36" s="8" t="s">
        <v>23</v>
      </c>
      <c r="B36" s="12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S36" s="45">
        <v>341540</v>
      </c>
    </row>
    <row r="37" spans="1:20" x14ac:dyDescent="0.2">
      <c r="A37" s="4" t="s">
        <v>24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S37" s="26">
        <f>S34+S35-S36</f>
        <v>4414106.7476235526</v>
      </c>
    </row>
    <row r="38" spans="1:20" s="6" customFormat="1" x14ac:dyDescent="0.2">
      <c r="A38" s="8" t="s">
        <v>25</v>
      </c>
      <c r="B38" s="12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S38" s="6">
        <v>7.46</v>
      </c>
    </row>
    <row r="39" spans="1:20" ht="24" x14ac:dyDescent="0.3">
      <c r="A39" s="4" t="s">
        <v>26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R39" s="47"/>
      <c r="S39" s="48">
        <f>S37/S38</f>
        <v>591703.31737581128</v>
      </c>
      <c r="T39" s="46" t="s">
        <v>38</v>
      </c>
    </row>
    <row r="40" spans="1:20" x14ac:dyDescent="0.2">
      <c r="A40" s="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R40" s="47"/>
      <c r="S40" s="47"/>
    </row>
    <row r="41" spans="1:20" x14ac:dyDescent="0.2">
      <c r="R41" s="47"/>
      <c r="S41" s="47"/>
    </row>
    <row r="42" spans="1:20" x14ac:dyDescent="0.2">
      <c r="A42" s="4" t="s">
        <v>31</v>
      </c>
      <c r="C42" s="16">
        <f>C11/C8</f>
        <v>0.11735128685870121</v>
      </c>
      <c r="D42" s="16">
        <f t="shared" ref="D42:I42" si="59">D11/D8</f>
        <v>0.14402663821332645</v>
      </c>
      <c r="E42" s="16">
        <f t="shared" si="59"/>
        <v>0.14701392422630338</v>
      </c>
      <c r="F42" s="16">
        <f t="shared" si="59"/>
        <v>0.10136597978287619</v>
      </c>
      <c r="G42" s="16">
        <f t="shared" si="59"/>
        <v>9.9346563407550825E-2</v>
      </c>
      <c r="H42" s="16">
        <f t="shared" si="59"/>
        <v>0.12373949579831933</v>
      </c>
      <c r="I42" s="16">
        <f t="shared" si="59"/>
        <v>0.19898265895953757</v>
      </c>
      <c r="L42" s="28" t="s">
        <v>35</v>
      </c>
      <c r="N42" s="16">
        <f>(D8/C8)^(1/(2019-2018))-1</f>
        <v>0.15813021987387077</v>
      </c>
    </row>
    <row r="43" spans="1:20" x14ac:dyDescent="0.2">
      <c r="A43" s="4" t="s">
        <v>32</v>
      </c>
      <c r="C43" s="16">
        <f>C19/C8</f>
        <v>2.0538605761036305E-2</v>
      </c>
      <c r="D43" s="16">
        <f t="shared" ref="D43:I43" si="60">D19/D8</f>
        <v>2.2315022627764084E-2</v>
      </c>
      <c r="E43" s="16">
        <f t="shared" si="60"/>
        <v>2.0477710443940724E-2</v>
      </c>
      <c r="F43" s="16">
        <f t="shared" si="60"/>
        <v>2.378393533012476E-2</v>
      </c>
      <c r="G43" s="16">
        <f t="shared" si="60"/>
        <v>2.7391533925899849E-2</v>
      </c>
      <c r="H43" s="16">
        <f t="shared" si="60"/>
        <v>2.7008403361344538E-2</v>
      </c>
      <c r="I43" s="16">
        <f t="shared" si="60"/>
        <v>2.4E-2</v>
      </c>
      <c r="L43" s="28" t="s">
        <v>36</v>
      </c>
      <c r="N43" s="16">
        <f>(I8/G8)^(1/(2024-2022))-1</f>
        <v>0.37953128778152112</v>
      </c>
    </row>
    <row r="44" spans="1:20" x14ac:dyDescent="0.2">
      <c r="A44" s="4" t="s">
        <v>33</v>
      </c>
      <c r="C44" s="16">
        <f>C22/C8</f>
        <v>7.7083688426793931E-2</v>
      </c>
      <c r="D44" s="16">
        <f t="shared" ref="D44:I44" si="61">D22/D8</f>
        <v>2.3749954008609589E-2</v>
      </c>
      <c r="E44" s="16">
        <f t="shared" si="61"/>
        <v>0.10255817180922422</v>
      </c>
      <c r="F44" s="16">
        <f t="shared" si="61"/>
        <v>0.22037911001043564</v>
      </c>
      <c r="G44" s="16">
        <f t="shared" si="61"/>
        <v>0.1037358092053155</v>
      </c>
      <c r="H44" s="16">
        <f t="shared" si="61"/>
        <v>4.1504201680672266E-2</v>
      </c>
      <c r="I44" s="16">
        <f t="shared" si="61"/>
        <v>0.08</v>
      </c>
      <c r="L44" s="28" t="s">
        <v>37</v>
      </c>
      <c r="N44" s="16">
        <f>AVERAGE(N42:N43)</f>
        <v>0.26883075382769595</v>
      </c>
    </row>
    <row r="45" spans="1:20" x14ac:dyDescent="0.2">
      <c r="A45" s="4" t="s">
        <v>34</v>
      </c>
      <c r="C45" s="27">
        <f>C25/C8</f>
        <v>-6.9669336969490375E-2</v>
      </c>
      <c r="D45" s="27">
        <f t="shared" ref="D45:I45" si="62">D25/D8</f>
        <v>-5.0792891570697968E-2</v>
      </c>
      <c r="E45" s="27">
        <f t="shared" si="62"/>
        <v>-3.3399639172873204E-2</v>
      </c>
      <c r="F45" s="27">
        <f t="shared" si="62"/>
        <v>-1.9843309502671214E-2</v>
      </c>
      <c r="G45" s="27">
        <f t="shared" si="62"/>
        <v>-6.9853911819061865E-2</v>
      </c>
      <c r="H45" s="27">
        <f t="shared" si="62"/>
        <v>-6.5546218487394954E-3</v>
      </c>
      <c r="I45" s="27">
        <f t="shared" si="62"/>
        <v>-4.6820809248554911E-2</v>
      </c>
    </row>
    <row r="46" spans="1:20" x14ac:dyDescent="0.2">
      <c r="A46" s="4"/>
    </row>
    <row r="47" spans="1:20" x14ac:dyDescent="0.2">
      <c r="A47" s="4"/>
    </row>
    <row r="48" spans="1:20" x14ac:dyDescent="0.2">
      <c r="A48" s="4"/>
    </row>
  </sheetData>
  <mergeCells count="1">
    <mergeCell ref="A2:C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4AD9-E26E-554C-9207-EDF064460D32}">
  <dimension ref="A1:B8"/>
  <sheetViews>
    <sheetView workbookViewId="0">
      <selection activeCell="A14" sqref="A14"/>
    </sheetView>
  </sheetViews>
  <sheetFormatPr baseColWidth="10" defaultRowHeight="16" x14ac:dyDescent="0.2"/>
  <cols>
    <col min="1" max="16384" width="10.83203125" style="1"/>
  </cols>
  <sheetData>
    <row r="1" spans="1:2" ht="24" x14ac:dyDescent="0.3">
      <c r="A1" s="46" t="s">
        <v>39</v>
      </c>
    </row>
    <row r="5" spans="1:2" x14ac:dyDescent="0.2">
      <c r="A5" s="1" t="s">
        <v>40</v>
      </c>
      <c r="B5" s="1">
        <v>786.67</v>
      </c>
    </row>
    <row r="6" spans="1:2" x14ac:dyDescent="0.2">
      <c r="A6" s="1" t="s">
        <v>41</v>
      </c>
      <c r="B6" s="1">
        <v>221.33</v>
      </c>
    </row>
    <row r="7" spans="1:2" x14ac:dyDescent="0.2">
      <c r="A7" s="1" t="s">
        <v>42</v>
      </c>
      <c r="B7" s="1">
        <v>160.81</v>
      </c>
    </row>
    <row r="8" spans="1:2" x14ac:dyDescent="0.2">
      <c r="A8" s="1" t="s">
        <v>43</v>
      </c>
      <c r="B8" s="1">
        <v>23.61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 Info</vt:lpstr>
      <vt:lpstr>DCF Analysis</vt:lpstr>
      <vt:lpstr>Revenue Share 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Ramos Ruballos</dc:creator>
  <cp:lastModifiedBy>Khandelwal, Charvi</cp:lastModifiedBy>
  <dcterms:created xsi:type="dcterms:W3CDTF">2025-03-03T00:47:16Z</dcterms:created>
  <dcterms:modified xsi:type="dcterms:W3CDTF">2025-03-04T05:18:59Z</dcterms:modified>
</cp:coreProperties>
</file>